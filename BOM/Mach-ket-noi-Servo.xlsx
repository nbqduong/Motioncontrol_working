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tionControlBackup\PrintBoM\"/>
    </mc:Choice>
  </mc:AlternateContent>
  <xr:revisionPtr revIDLastSave="0" documentId="13_ncr:1_{43A6586C-A7FB-4305-88EC-89B18864687D}" xr6:coauthVersionLast="47" xr6:coauthVersionMax="47" xr10:uidLastSave="{00000000-0000-0000-0000-000000000000}"/>
  <bookViews>
    <workbookView xWindow="-108" yWindow="-108" windowWidth="23256" windowHeight="12456" xr2:uid="{74EE0474-6A53-447A-A0BB-16241A907989}"/>
  </bookViews>
  <sheets>
    <sheet name="Mach-ket-noi-Servo" sheetId="1" r:id="rId1"/>
  </sheets>
  <definedNames>
    <definedName name="_xlnm.Print_Titles" localSheetId="0">'Mach-ket-noi-Servo'!$1:$1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</calcChain>
</file>

<file path=xl/sharedStrings.xml><?xml version="1.0" encoding="utf-8"?>
<sst xmlns="http://schemas.openxmlformats.org/spreadsheetml/2006/main" count="92" uniqueCount="68">
  <si>
    <t>Comment</t>
  </si>
  <si>
    <t>Quantity</t>
  </si>
  <si>
    <t>Description</t>
  </si>
  <si>
    <t>Designator</t>
  </si>
  <si>
    <t>1k</t>
  </si>
  <si>
    <t>Chip resistor networks (MNR)</t>
  </si>
  <si>
    <t>R3, R9, R32</t>
  </si>
  <si>
    <t>3.3k</t>
  </si>
  <si>
    <t>R7, R18, R21</t>
  </si>
  <si>
    <t>5.6k</t>
  </si>
  <si>
    <t>R4, R17, R20</t>
  </si>
  <si>
    <t>10</t>
  </si>
  <si>
    <t>R31, R34</t>
  </si>
  <si>
    <t>10k</t>
  </si>
  <si>
    <t>R33, R37</t>
  </si>
  <si>
    <t>330</t>
  </si>
  <si>
    <t>R15, R16, R29, R30, R35, R36</t>
  </si>
  <si>
    <t>HDR15x2F</t>
  </si>
  <si>
    <t>Header 15x2 Female, 2.54mm Pitch</t>
  </si>
  <si>
    <t>P1</t>
  </si>
  <si>
    <t>CABLE 10</t>
  </si>
  <si>
    <t>Header, 5-Pin, Dual row</t>
  </si>
  <si>
    <t>P3</t>
  </si>
  <si>
    <t>IDC34</t>
  </si>
  <si>
    <t>IDC Cable 34 pins, 2 Rows</t>
  </si>
  <si>
    <t>P2</t>
  </si>
  <si>
    <t>LED3</t>
  </si>
  <si>
    <t>LED 3mm</t>
  </si>
  <si>
    <t>/EMGN, ALARM, ALMRST, CLR, DRIVE, ECA, ECB, ECZ, ERROR, HOME, INPOS, LMTM, LMTP, MPGA, MPGB, PM, PP, R1, R2, SD, SON, SPLTP, SRDY, TGON, XALO1, XALO2, XALO3</t>
  </si>
  <si>
    <t>0.1uF</t>
  </si>
  <si>
    <t>Non-polarized Capacito</t>
  </si>
  <si>
    <t>C1, C4, C5, C9, C10</t>
  </si>
  <si>
    <t>1nF</t>
  </si>
  <si>
    <t>C2, C3, C6, C7, C11, C12, C13, C14, C15, C16, C17, C18, C19, C20, C21, C22, C23, C24, C25, C26, C27, C28, C29, C30</t>
  </si>
  <si>
    <t>10uF</t>
  </si>
  <si>
    <t>Polarized Capacitor</t>
  </si>
  <si>
    <t>C8</t>
  </si>
  <si>
    <t>SN75ALS174ADWR</t>
  </si>
  <si>
    <t>Quadruple Differential Line Driver, 4 TX / 0 RX, 5V, 0 to 70 degC, 20-Pin SOIC (DW), Green (RoHS &amp; no Sb/Br)</t>
  </si>
  <si>
    <t>U9</t>
  </si>
  <si>
    <t>SN75ALS175NSR</t>
  </si>
  <si>
    <t>Quadruple Differential Line Receiver, 0 TX / 4 RX, 5V, 0 to 70 degC, 16-Pin SO (NS), Green (RoHS &amp; no Sb/Br)</t>
  </si>
  <si>
    <t>U2</t>
  </si>
  <si>
    <t>SMD Resistor</t>
  </si>
  <si>
    <t>R5, R6, R8, R10, R11, R12, R13, R14, R19, R22, R23, R24, R25, R26, R27, R28</t>
  </si>
  <si>
    <t>SMS05</t>
  </si>
  <si>
    <t>U3, U4, U11, U12</t>
  </si>
  <si>
    <t>SN74LVC244ADWR</t>
  </si>
  <si>
    <t>U5, U8, U13</t>
  </si>
  <si>
    <t>Terminal 2x1</t>
  </si>
  <si>
    <t>P4</t>
  </si>
  <si>
    <t>TLP280-4</t>
  </si>
  <si>
    <t>U6, U7</t>
  </si>
  <si>
    <t>TLP281-4</t>
  </si>
  <si>
    <t>U1, U10</t>
  </si>
  <si>
    <t>Footprint</t>
  </si>
  <si>
    <t>Each Axis</t>
  </si>
  <si>
    <t>Each Board</t>
  </si>
  <si>
    <t>Link</t>
  </si>
  <si>
    <t>MNR14</t>
  </si>
  <si>
    <t>HDR15X2</t>
  </si>
  <si>
    <t>IDC34Pins</t>
  </si>
  <si>
    <t>LED0805</t>
  </si>
  <si>
    <t>Cap-Non-Pol</t>
  </si>
  <si>
    <t>Cap Pol</t>
  </si>
  <si>
    <t>DW20_M</t>
  </si>
  <si>
    <t>NS16_M</t>
  </si>
  <si>
    <t>Resistor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</si>
</sst>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0E41-1B89-462F-B02F-3520969EC39A}">
  <dimension ref="A1:H22"/>
  <sheetViews>
    <sheetView tabSelected="1" workbookViewId="0">
      <selection activeCell="D12" sqref="D12"/>
    </sheetView>
  </sheetViews>
  <sheetFormatPr defaultRowHeight="13.8" x14ac:dyDescent="0.25"/>
  <cols>
    <col min="1" max="1" width="18.5" customWidth="1"/>
    <col min="2" max="2" width="8.69921875" bestFit="1" customWidth="1"/>
    <col min="3" max="3" width="12.296875" customWidth="1"/>
    <col min="4" max="4" width="34.8984375" customWidth="1"/>
    <col min="5" max="5" width="21.19921875" customWidth="1"/>
    <col min="6" max="6" width="12.296875" customWidth="1"/>
  </cols>
  <sheetData>
    <row r="1" spans="1:8" s="4" customFormat="1" x14ac:dyDescent="0.25">
      <c r="A1" s="3" t="s">
        <v>0</v>
      </c>
      <c r="B1" s="3" t="s">
        <v>56</v>
      </c>
      <c r="C1" s="3" t="s">
        <v>57</v>
      </c>
      <c r="D1" s="3" t="s">
        <v>2</v>
      </c>
      <c r="E1" s="3" t="s">
        <v>3</v>
      </c>
      <c r="F1" s="3" t="s">
        <v>55</v>
      </c>
      <c r="G1" s="4" t="s">
        <v>1</v>
      </c>
      <c r="H1" s="4" t="s">
        <v>58</v>
      </c>
    </row>
    <row r="2" spans="1:8" x14ac:dyDescent="0.25">
      <c r="A2" s="2" t="s">
        <v>4</v>
      </c>
      <c r="B2" s="1">
        <v>3</v>
      </c>
      <c r="C2" s="1">
        <f>B2*4</f>
        <v>12</v>
      </c>
      <c r="D2" s="2" t="s">
        <v>5</v>
      </c>
      <c r="E2" s="2" t="s">
        <v>6</v>
      </c>
      <c r="F2" s="2" t="s">
        <v>59</v>
      </c>
      <c r="G2">
        <f>C2*3</f>
        <v>36</v>
      </c>
    </row>
    <row r="3" spans="1:8" x14ac:dyDescent="0.25">
      <c r="A3" s="2" t="s">
        <v>7</v>
      </c>
      <c r="B3" s="1">
        <v>3</v>
      </c>
      <c r="C3" s="1">
        <f t="shared" ref="C3:C22" si="0">B3*4</f>
        <v>12</v>
      </c>
      <c r="D3" s="2" t="s">
        <v>5</v>
      </c>
      <c r="E3" s="2" t="s">
        <v>8</v>
      </c>
      <c r="F3" s="2" t="s">
        <v>59</v>
      </c>
      <c r="G3">
        <f t="shared" ref="G3:G22" si="1">C3*3</f>
        <v>36</v>
      </c>
    </row>
    <row r="4" spans="1:8" x14ac:dyDescent="0.25">
      <c r="A4" s="2" t="s">
        <v>9</v>
      </c>
      <c r="B4" s="1">
        <v>3</v>
      </c>
      <c r="C4" s="1">
        <f t="shared" si="0"/>
        <v>12</v>
      </c>
      <c r="D4" s="2" t="s">
        <v>5</v>
      </c>
      <c r="E4" s="2" t="s">
        <v>10</v>
      </c>
      <c r="F4" s="2" t="s">
        <v>59</v>
      </c>
      <c r="G4">
        <f t="shared" si="1"/>
        <v>36</v>
      </c>
    </row>
    <row r="5" spans="1:8" x14ac:dyDescent="0.25">
      <c r="A5" s="2" t="s">
        <v>11</v>
      </c>
      <c r="B5" s="1">
        <v>2</v>
      </c>
      <c r="C5" s="1">
        <f t="shared" si="0"/>
        <v>8</v>
      </c>
      <c r="D5" s="2" t="s">
        <v>5</v>
      </c>
      <c r="E5" s="2" t="s">
        <v>12</v>
      </c>
      <c r="F5" s="2" t="s">
        <v>59</v>
      </c>
      <c r="G5">
        <f t="shared" si="1"/>
        <v>24</v>
      </c>
    </row>
    <row r="6" spans="1:8" x14ac:dyDescent="0.25">
      <c r="A6" s="2" t="s">
        <v>13</v>
      </c>
      <c r="B6" s="1">
        <v>2</v>
      </c>
      <c r="C6" s="1">
        <f t="shared" si="0"/>
        <v>8</v>
      </c>
      <c r="D6" s="2" t="s">
        <v>5</v>
      </c>
      <c r="E6" s="2" t="s">
        <v>14</v>
      </c>
      <c r="F6" s="2" t="s">
        <v>59</v>
      </c>
      <c r="G6">
        <f t="shared" si="1"/>
        <v>24</v>
      </c>
    </row>
    <row r="7" spans="1:8" x14ac:dyDescent="0.25">
      <c r="A7" s="2" t="s">
        <v>15</v>
      </c>
      <c r="B7" s="1">
        <v>6</v>
      </c>
      <c r="C7" s="1">
        <f t="shared" si="0"/>
        <v>24</v>
      </c>
      <c r="D7" s="2" t="s">
        <v>5</v>
      </c>
      <c r="E7" s="2" t="s">
        <v>16</v>
      </c>
      <c r="F7" s="2" t="s">
        <v>59</v>
      </c>
      <c r="G7">
        <f t="shared" si="1"/>
        <v>72</v>
      </c>
    </row>
    <row r="8" spans="1:8" x14ac:dyDescent="0.25">
      <c r="A8" s="2" t="s">
        <v>17</v>
      </c>
      <c r="B8" s="1">
        <v>1</v>
      </c>
      <c r="C8" s="1">
        <f t="shared" si="0"/>
        <v>4</v>
      </c>
      <c r="D8" s="2" t="s">
        <v>18</v>
      </c>
      <c r="E8" s="2" t="s">
        <v>19</v>
      </c>
      <c r="F8" s="2" t="s">
        <v>60</v>
      </c>
      <c r="G8">
        <f t="shared" si="1"/>
        <v>12</v>
      </c>
    </row>
    <row r="9" spans="1:8" x14ac:dyDescent="0.25">
      <c r="A9" s="2" t="s">
        <v>20</v>
      </c>
      <c r="B9" s="1">
        <v>1</v>
      </c>
      <c r="C9" s="1">
        <f t="shared" si="0"/>
        <v>4</v>
      </c>
      <c r="D9" s="2" t="s">
        <v>21</v>
      </c>
      <c r="E9" s="2" t="s">
        <v>22</v>
      </c>
      <c r="F9" s="2" t="s">
        <v>20</v>
      </c>
      <c r="G9">
        <f t="shared" si="1"/>
        <v>12</v>
      </c>
    </row>
    <row r="10" spans="1:8" x14ac:dyDescent="0.25">
      <c r="A10" s="2" t="s">
        <v>23</v>
      </c>
      <c r="B10" s="1">
        <v>1</v>
      </c>
      <c r="C10" s="1">
        <f t="shared" si="0"/>
        <v>4</v>
      </c>
      <c r="D10" s="2" t="s">
        <v>24</v>
      </c>
      <c r="E10" s="2" t="s">
        <v>25</v>
      </c>
      <c r="F10" s="2" t="s">
        <v>61</v>
      </c>
      <c r="G10">
        <f t="shared" si="1"/>
        <v>12</v>
      </c>
    </row>
    <row r="11" spans="1:8" x14ac:dyDescent="0.25">
      <c r="A11" s="2" t="s">
        <v>26</v>
      </c>
      <c r="B11" s="1">
        <v>27</v>
      </c>
      <c r="C11" s="1">
        <f t="shared" si="0"/>
        <v>108</v>
      </c>
      <c r="D11" s="2" t="s">
        <v>27</v>
      </c>
      <c r="E11" s="2" t="s">
        <v>28</v>
      </c>
      <c r="F11" s="2" t="s">
        <v>62</v>
      </c>
      <c r="G11">
        <f t="shared" si="1"/>
        <v>324</v>
      </c>
    </row>
    <row r="12" spans="1:8" x14ac:dyDescent="0.25">
      <c r="A12" s="2" t="s">
        <v>29</v>
      </c>
      <c r="B12" s="1">
        <v>5</v>
      </c>
      <c r="C12" s="1">
        <f t="shared" si="0"/>
        <v>20</v>
      </c>
      <c r="D12" s="2" t="s">
        <v>30</v>
      </c>
      <c r="E12" s="2" t="s">
        <v>31</v>
      </c>
      <c r="F12" s="2" t="s">
        <v>63</v>
      </c>
      <c r="G12">
        <f t="shared" si="1"/>
        <v>60</v>
      </c>
    </row>
    <row r="13" spans="1:8" x14ac:dyDescent="0.25">
      <c r="A13" s="2" t="s">
        <v>32</v>
      </c>
      <c r="B13" s="1">
        <v>24</v>
      </c>
      <c r="C13" s="1">
        <f t="shared" si="0"/>
        <v>96</v>
      </c>
      <c r="D13" s="2" t="s">
        <v>30</v>
      </c>
      <c r="E13" s="2" t="s">
        <v>33</v>
      </c>
      <c r="F13" s="2" t="s">
        <v>63</v>
      </c>
      <c r="G13">
        <f t="shared" si="1"/>
        <v>288</v>
      </c>
    </row>
    <row r="14" spans="1:8" x14ac:dyDescent="0.25">
      <c r="A14" s="2" t="s">
        <v>34</v>
      </c>
      <c r="B14" s="1">
        <v>1</v>
      </c>
      <c r="C14" s="1">
        <f t="shared" si="0"/>
        <v>4</v>
      </c>
      <c r="D14" s="2" t="s">
        <v>35</v>
      </c>
      <c r="E14" s="2" t="s">
        <v>36</v>
      </c>
      <c r="F14" s="2" t="s">
        <v>64</v>
      </c>
      <c r="G14">
        <f t="shared" si="1"/>
        <v>12</v>
      </c>
    </row>
    <row r="15" spans="1:8" x14ac:dyDescent="0.25">
      <c r="A15" s="2" t="s">
        <v>37</v>
      </c>
      <c r="B15" s="1">
        <v>1</v>
      </c>
      <c r="C15" s="1">
        <f t="shared" si="0"/>
        <v>4</v>
      </c>
      <c r="D15" s="2" t="s">
        <v>38</v>
      </c>
      <c r="E15" s="2" t="s">
        <v>39</v>
      </c>
      <c r="F15" s="2" t="s">
        <v>65</v>
      </c>
      <c r="G15">
        <f t="shared" si="1"/>
        <v>12</v>
      </c>
    </row>
    <row r="16" spans="1:8" x14ac:dyDescent="0.25">
      <c r="A16" s="2" t="s">
        <v>40</v>
      </c>
      <c r="B16" s="1">
        <v>1</v>
      </c>
      <c r="C16" s="1">
        <f t="shared" si="0"/>
        <v>4</v>
      </c>
      <c r="D16" s="2" t="s">
        <v>41</v>
      </c>
      <c r="E16" s="2" t="s">
        <v>42</v>
      </c>
      <c r="F16" s="2" t="s">
        <v>66</v>
      </c>
      <c r="G16">
        <f t="shared" si="1"/>
        <v>12</v>
      </c>
    </row>
    <row r="17" spans="1:7" x14ac:dyDescent="0.25">
      <c r="A17" s="2" t="s">
        <v>4</v>
      </c>
      <c r="B17" s="1">
        <v>16</v>
      </c>
      <c r="C17" s="1">
        <f t="shared" si="0"/>
        <v>64</v>
      </c>
      <c r="D17" s="2" t="s">
        <v>43</v>
      </c>
      <c r="E17" s="2" t="s">
        <v>44</v>
      </c>
      <c r="F17" s="2" t="s">
        <v>67</v>
      </c>
      <c r="G17">
        <f t="shared" si="1"/>
        <v>192</v>
      </c>
    </row>
    <row r="18" spans="1:7" x14ac:dyDescent="0.25">
      <c r="A18" s="2" t="s">
        <v>45</v>
      </c>
      <c r="B18" s="1">
        <v>4</v>
      </c>
      <c r="C18" s="1">
        <f t="shared" si="0"/>
        <v>16</v>
      </c>
      <c r="D18" s="2" t="s">
        <v>45</v>
      </c>
      <c r="E18" s="2" t="s">
        <v>46</v>
      </c>
      <c r="F18" s="2" t="s">
        <v>45</v>
      </c>
      <c r="G18">
        <f t="shared" si="1"/>
        <v>48</v>
      </c>
    </row>
    <row r="19" spans="1:7" x14ac:dyDescent="0.25">
      <c r="A19" s="2" t="s">
        <v>47</v>
      </c>
      <c r="B19" s="1">
        <v>3</v>
      </c>
      <c r="C19" s="1">
        <f t="shared" si="0"/>
        <v>12</v>
      </c>
      <c r="D19" s="2" t="s">
        <v>47</v>
      </c>
      <c r="E19" s="2" t="s">
        <v>48</v>
      </c>
      <c r="F19" s="2" t="s">
        <v>47</v>
      </c>
      <c r="G19">
        <f t="shared" si="1"/>
        <v>36</v>
      </c>
    </row>
    <row r="20" spans="1:7" x14ac:dyDescent="0.25">
      <c r="A20" s="2" t="s">
        <v>49</v>
      </c>
      <c r="B20" s="1">
        <v>1</v>
      </c>
      <c r="C20" s="1">
        <f t="shared" si="0"/>
        <v>4</v>
      </c>
      <c r="D20" s="2" t="s">
        <v>49</v>
      </c>
      <c r="E20" s="2" t="s">
        <v>50</v>
      </c>
      <c r="F20" s="2" t="s">
        <v>49</v>
      </c>
      <c r="G20">
        <f t="shared" si="1"/>
        <v>12</v>
      </c>
    </row>
    <row r="21" spans="1:7" x14ac:dyDescent="0.25">
      <c r="A21" s="2" t="s">
        <v>51</v>
      </c>
      <c r="B21" s="1">
        <v>2</v>
      </c>
      <c r="C21" s="1">
        <f t="shared" si="0"/>
        <v>8</v>
      </c>
      <c r="D21" s="2" t="s">
        <v>51</v>
      </c>
      <c r="E21" s="2" t="s">
        <v>52</v>
      </c>
      <c r="F21" s="2" t="s">
        <v>51</v>
      </c>
      <c r="G21">
        <f t="shared" si="1"/>
        <v>24</v>
      </c>
    </row>
    <row r="22" spans="1:7" x14ac:dyDescent="0.25">
      <c r="A22" s="2" t="s">
        <v>53</v>
      </c>
      <c r="B22" s="1">
        <v>2</v>
      </c>
      <c r="C22" s="1">
        <f t="shared" si="0"/>
        <v>8</v>
      </c>
      <c r="D22" s="2" t="s">
        <v>53</v>
      </c>
      <c r="E22" s="2" t="s">
        <v>54</v>
      </c>
      <c r="F22" s="2" t="s">
        <v>53</v>
      </c>
      <c r="G22">
        <f t="shared" si="1"/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Mach-ket-noi-Servo</vt:lpstr>
      <vt:lpstr>'Mach-ket-noi-Servo'!Print_Titles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2022-07-30T07:05:28Z</dcterms:created>
  <dcterms:modified xsi:type="dcterms:W3CDTF">2022-07-30T17:04:59Z</dcterms:modified>
</cp:coreProperties>
</file>