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tionControlBackup\PrintBoM\"/>
    </mc:Choice>
  </mc:AlternateContent>
  <xr:revisionPtr revIDLastSave="0" documentId="13_ncr:1_{26C5E084-8B68-4FF1-A463-AC836EDE0050}" xr6:coauthVersionLast="47" xr6:coauthVersionMax="47" xr10:uidLastSave="{00000000-0000-0000-0000-000000000000}"/>
  <bookViews>
    <workbookView xWindow="-108" yWindow="-108" windowWidth="23256" windowHeight="12456" xr2:uid="{4C083031-468B-4270-91AA-80B40FF8A225}"/>
  </bookViews>
  <sheets>
    <sheet name="PIC24_MCX514" sheetId="1" r:id="rId1"/>
  </sheets>
  <definedNames>
    <definedName name="_xlnm.Print_Titles" localSheetId="0">PIC24_MCX514!$1:$1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</calcChain>
</file>

<file path=xl/sharedStrings.xml><?xml version="1.0" encoding="utf-8"?>
<sst xmlns="http://schemas.openxmlformats.org/spreadsheetml/2006/main" count="137" uniqueCount="119">
  <si>
    <t>Comment</t>
  </si>
  <si>
    <t>Quantity</t>
  </si>
  <si>
    <t>Designator</t>
  </si>
  <si>
    <t>Description</t>
  </si>
  <si>
    <t>Termial 1x2</t>
  </si>
  <si>
    <t>P1, P3, P4, P5</t>
  </si>
  <si>
    <t/>
  </si>
  <si>
    <t>LM317</t>
  </si>
  <si>
    <t>LM1</t>
  </si>
  <si>
    <t>800mA Low-Dropout Linear Regulator</t>
  </si>
  <si>
    <t>10k</t>
  </si>
  <si>
    <t>R13, R14, R15, R16, R17, R18, R19, R20, R21, R22</t>
  </si>
  <si>
    <t>Chip resistor networks (MNR)</t>
  </si>
  <si>
    <t>16MHz</t>
  </si>
  <si>
    <t>U4</t>
  </si>
  <si>
    <t>Crystal</t>
  </si>
  <si>
    <t>Diode SMD</t>
  </si>
  <si>
    <t>DIO1</t>
  </si>
  <si>
    <t>Default Diode</t>
  </si>
  <si>
    <t>PIC24FJ128GB106-I/PT</t>
  </si>
  <si>
    <t>U2</t>
  </si>
  <si>
    <t>General Purpose 16-Bit Flash Microcontroller with USB On-The-Go, 128KB Flash, 16KB SRAM, 64-Pin TQFP, Industrial Temperature</t>
  </si>
  <si>
    <t>HDR2x2M</t>
  </si>
  <si>
    <t>P6</t>
  </si>
  <si>
    <t>Header 2x2 Male</t>
  </si>
  <si>
    <t>HDR3x1M</t>
  </si>
  <si>
    <t>P2</t>
  </si>
  <si>
    <t>Header 3x1 Male</t>
  </si>
  <si>
    <t>HDR6x1M</t>
  </si>
  <si>
    <t>P8</t>
  </si>
  <si>
    <t>Header 6x1 Male</t>
  </si>
  <si>
    <t>HDR8x2F</t>
  </si>
  <si>
    <t>PIC1, PIC2, PIC3, PIC4</t>
  </si>
  <si>
    <t>Header 8x2 Female</t>
  </si>
  <si>
    <t>HDR15x2F</t>
  </si>
  <si>
    <t>P14, P15</t>
  </si>
  <si>
    <t>Header 15x2 Female, 2.54mm Pitch</t>
  </si>
  <si>
    <t>HDR15x2M</t>
  </si>
  <si>
    <t>P9, P10, P11, P12</t>
  </si>
  <si>
    <t>Header 15x2 Male</t>
  </si>
  <si>
    <t>HDR18x2F</t>
  </si>
  <si>
    <t>MCX1, MCX2, MCX3, MCX4</t>
  </si>
  <si>
    <t>Header 18x2 Female</t>
  </si>
  <si>
    <t>CABLE 10</t>
  </si>
  <si>
    <t>P7, P13</t>
  </si>
  <si>
    <t>Header, 5-Pin, Dual row</t>
  </si>
  <si>
    <t>LED3</t>
  </si>
  <si>
    <t>3.3V, 3.3V-MCX, 5V, 5V-EXT, 5V-USB, 24V</t>
  </si>
  <si>
    <t>LED 3mm</t>
  </si>
  <si>
    <t>Micro USB</t>
  </si>
  <si>
    <t>U1</t>
  </si>
  <si>
    <t>0.1uF</t>
  </si>
  <si>
    <t>C2, C3, C4, C5, C6, C7, C8, C9, C10, C11, C17, C18, C19, C20, C21, C22, C23</t>
  </si>
  <si>
    <t>Non-polarized Capacito</t>
  </si>
  <si>
    <t>10uF</t>
  </si>
  <si>
    <t>C14</t>
  </si>
  <si>
    <t>22pF</t>
  </si>
  <si>
    <t>C12, C13, C15, C16</t>
  </si>
  <si>
    <t>Nova MCX501</t>
  </si>
  <si>
    <t>U5</t>
  </si>
  <si>
    <t>MCX514</t>
  </si>
  <si>
    <t>U3</t>
  </si>
  <si>
    <t>Nova MCX514</t>
  </si>
  <si>
    <t>47uF</t>
  </si>
  <si>
    <t>C1</t>
  </si>
  <si>
    <t>Polarized Capacitor</t>
  </si>
  <si>
    <t>PushSW8x8L</t>
  </si>
  <si>
    <t>SW1</t>
  </si>
  <si>
    <t>Push SW 8x8mm latching ON/OFF</t>
  </si>
  <si>
    <t>XT1</t>
  </si>
  <si>
    <t>Quarz Crystal</t>
  </si>
  <si>
    <t>1k</t>
  </si>
  <si>
    <t>R11</t>
  </si>
  <si>
    <t>SMD Resistor</t>
  </si>
  <si>
    <t>1.5k</t>
  </si>
  <si>
    <t>R9</t>
  </si>
  <si>
    <t>R4, R5, R6, R7, R8, R12</t>
  </si>
  <si>
    <t>100k</t>
  </si>
  <si>
    <t>R3, R10</t>
  </si>
  <si>
    <t>220</t>
  </si>
  <si>
    <t>R2</t>
  </si>
  <si>
    <t>330</t>
  </si>
  <si>
    <t>R1</t>
  </si>
  <si>
    <t>PTS635</t>
  </si>
  <si>
    <t>SW2</t>
  </si>
  <si>
    <t>SWITCH TACT MOM SPST SMD</t>
  </si>
  <si>
    <t>X1</t>
  </si>
  <si>
    <t>Tuning Forl Crystal Units (SMD-Cylinder Type)</t>
  </si>
  <si>
    <t>FOOTPRINT</t>
  </si>
  <si>
    <t>MNR14</t>
  </si>
  <si>
    <t>KC7050B</t>
  </si>
  <si>
    <t>DIO-SMD-106</t>
  </si>
  <si>
    <t>TQFP-PT64_N</t>
  </si>
  <si>
    <t>HDR2X2M</t>
  </si>
  <si>
    <t>HDR3X1M</t>
  </si>
  <si>
    <t>HDR6X1M</t>
  </si>
  <si>
    <t>HDR15X2F</t>
  </si>
  <si>
    <t>HDR15X2F-D</t>
  </si>
  <si>
    <t>HDR8X2F-D</t>
  </si>
  <si>
    <t>HDR15X2M-D</t>
  </si>
  <si>
    <t>LED0805</t>
  </si>
  <si>
    <t>USB Micro</t>
  </si>
  <si>
    <t>Cap-Non-Pol</t>
  </si>
  <si>
    <t>Cap-Pol</t>
  </si>
  <si>
    <t>SW1 giu</t>
  </si>
  <si>
    <t>Crystal.smd_N</t>
  </si>
  <si>
    <t>Resistor SMD</t>
  </si>
  <si>
    <t>20MHz</t>
  </si>
  <si>
    <t>32.768KHz</t>
  </si>
  <si>
    <t>Crystal cylinder</t>
  </si>
  <si>
    <t>Tact.Switches.PTS635.SMT</t>
  </si>
  <si>
    <t>digikey, mouser…</t>
  </si>
  <si>
    <t>Each board</t>
  </si>
  <si>
    <t>Link</t>
  </si>
  <si>
    <t>Không ghi trong bản vẽ</t>
  </si>
  <si>
    <t>https://icdayroi.com/search?query=terminal</t>
  </si>
  <si>
    <t>LM1117-SOP</t>
  </si>
  <si>
    <t>https://www.alibaba.com/product-detail/Resistance-1-16W-Thick-Film-resistors_60821812599.html</t>
  </si>
  <si>
    <t>https://www.digikey.bg/en/products/detail/rohm-semiconductor/MNR14E0APJ103/1216202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</si>
</sst>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411480</xdr:colOff>
      <xdr:row>4</xdr:row>
      <xdr:rowOff>30480</xdr:rowOff>
    </xdr:from>
    <xdr:to>
      <xdr:col>11</xdr:col>
      <xdr:colOff>149562</xdr:colOff>
      <xdr:row>12</xdr:row>
      <xdr:rowOff>119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6F959FC-E023-C3E2-0A36-57869C974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9040" y="731520"/>
          <a:ext cx="2420322" cy="1371719"/>
        </a:xfrm>
        <a:prstGeom prst="rect">
          <a:avLst/>
        </a:prstGeom>
      </xdr:spPr>
    </xdr:pic>
    <xdr:clientData/>
  </xdr:twoCellAnchor>
  <xdr:twoCellAnchor editAs="oneCell">
    <xdr:from>
      <xdr:col>7</xdr:col>
      <xdr:colOff>386733</xdr:colOff>
      <xdr:row>13</xdr:row>
      <xdr:rowOff>68580</xdr:rowOff>
    </xdr:from>
    <xdr:to>
      <xdr:col>13</xdr:col>
      <xdr:colOff>275097</xdr:colOff>
      <xdr:row>27</xdr:row>
      <xdr:rowOff>160524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8FE838-D3EB-5DE9-F04B-4ACF4E8A0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44293" y="2346960"/>
          <a:ext cx="3911724" cy="2537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1818-8A48-42EB-98E6-9B74FDFE67D6}">
  <dimension ref="A1:H33"/>
  <sheetViews>
    <sheetView tabSelected="1" topLeftCell="A10" workbookViewId="0">
      <selection activeCell="D28" sqref="D28"/>
    </sheetView>
  </sheetViews>
  <sheetFormatPr defaultRowHeight="13.8" x14ac:dyDescent="0.25"/>
  <cols>
    <col min="1" max="1" width="27.796875" customWidth="1"/>
    <col min="2" max="2" width="10.09765625" bestFit="1" customWidth="1"/>
    <col min="3" max="3" width="21.8984375" customWidth="1"/>
    <col min="4" max="4" width="49.8984375" customWidth="1"/>
    <col min="5" max="5" width="16.5" customWidth="1"/>
  </cols>
  <sheetData>
    <row r="1" spans="1:8" s="4" customFormat="1" x14ac:dyDescent="0.25">
      <c r="A1" s="3" t="s">
        <v>0</v>
      </c>
      <c r="B1" s="3" t="s">
        <v>112</v>
      </c>
      <c r="C1" s="3" t="s">
        <v>2</v>
      </c>
      <c r="D1" s="3" t="s">
        <v>3</v>
      </c>
      <c r="E1" s="4" t="s">
        <v>88</v>
      </c>
      <c r="F1" s="4" t="s">
        <v>1</v>
      </c>
      <c r="G1" s="4" t="s">
        <v>113</v>
      </c>
      <c r="H1" s="4" t="s">
        <v>111</v>
      </c>
    </row>
    <row r="2" spans="1:8" x14ac:dyDescent="0.25">
      <c r="A2" s="2" t="s">
        <v>4</v>
      </c>
      <c r="B2" s="1">
        <v>4</v>
      </c>
      <c r="C2" s="2" t="s">
        <v>5</v>
      </c>
      <c r="D2" s="2" t="s">
        <v>6</v>
      </c>
      <c r="E2" t="s">
        <v>114</v>
      </c>
      <c r="F2">
        <f>B2*3</f>
        <v>12</v>
      </c>
      <c r="G2" t="s">
        <v>115</v>
      </c>
    </row>
    <row r="3" spans="1:8" x14ac:dyDescent="0.25">
      <c r="A3" s="2" t="s">
        <v>7</v>
      </c>
      <c r="B3" s="1">
        <v>1</v>
      </c>
      <c r="C3" s="2" t="s">
        <v>8</v>
      </c>
      <c r="D3" s="2" t="s">
        <v>9</v>
      </c>
      <c r="E3" s="5" t="s">
        <v>116</v>
      </c>
      <c r="F3">
        <f t="shared" ref="F3:F33" si="0">B3*3</f>
        <v>3</v>
      </c>
    </row>
    <row r="4" spans="1:8" x14ac:dyDescent="0.25">
      <c r="A4" s="2" t="s">
        <v>10</v>
      </c>
      <c r="B4" s="1">
        <v>10</v>
      </c>
      <c r="C4" s="2" t="s">
        <v>11</v>
      </c>
      <c r="D4" s="2" t="s">
        <v>12</v>
      </c>
      <c r="E4" s="5" t="s">
        <v>89</v>
      </c>
      <c r="F4">
        <f t="shared" si="0"/>
        <v>30</v>
      </c>
      <c r="G4" t="s">
        <v>118</v>
      </c>
    </row>
    <row r="5" spans="1:8" x14ac:dyDescent="0.25">
      <c r="A5" s="2" t="s">
        <v>13</v>
      </c>
      <c r="B5" s="1">
        <v>1</v>
      </c>
      <c r="C5" s="2" t="s">
        <v>14</v>
      </c>
      <c r="D5" s="2" t="s">
        <v>15</v>
      </c>
      <c r="E5" s="6" t="s">
        <v>90</v>
      </c>
      <c r="F5">
        <f t="shared" si="0"/>
        <v>3</v>
      </c>
    </row>
    <row r="6" spans="1:8" x14ac:dyDescent="0.25">
      <c r="A6" s="2" t="s">
        <v>16</v>
      </c>
      <c r="B6" s="1">
        <v>1</v>
      </c>
      <c r="C6" s="2" t="s">
        <v>17</v>
      </c>
      <c r="D6" s="2" t="s">
        <v>18</v>
      </c>
      <c r="E6" s="6" t="s">
        <v>91</v>
      </c>
      <c r="F6">
        <f t="shared" si="0"/>
        <v>3</v>
      </c>
    </row>
    <row r="7" spans="1:8" x14ac:dyDescent="0.25">
      <c r="A7" s="2" t="s">
        <v>19</v>
      </c>
      <c r="B7" s="1">
        <v>1</v>
      </c>
      <c r="C7" s="2" t="s">
        <v>20</v>
      </c>
      <c r="D7" s="2" t="s">
        <v>21</v>
      </c>
      <c r="E7" s="5" t="s">
        <v>92</v>
      </c>
      <c r="F7">
        <f t="shared" si="0"/>
        <v>3</v>
      </c>
    </row>
    <row r="8" spans="1:8" x14ac:dyDescent="0.25">
      <c r="A8" s="2" t="s">
        <v>22</v>
      </c>
      <c r="B8" s="1">
        <v>1</v>
      </c>
      <c r="C8" s="2" t="s">
        <v>23</v>
      </c>
      <c r="D8" s="2" t="s">
        <v>24</v>
      </c>
      <c r="E8" s="6" t="s">
        <v>93</v>
      </c>
      <c r="F8">
        <f t="shared" si="0"/>
        <v>3</v>
      </c>
    </row>
    <row r="9" spans="1:8" x14ac:dyDescent="0.25">
      <c r="A9" s="2" t="s">
        <v>25</v>
      </c>
      <c r="B9" s="1">
        <v>1</v>
      </c>
      <c r="C9" s="2" t="s">
        <v>26</v>
      </c>
      <c r="D9" s="2" t="s">
        <v>27</v>
      </c>
      <c r="E9" s="6" t="s">
        <v>94</v>
      </c>
      <c r="F9">
        <f t="shared" si="0"/>
        <v>3</v>
      </c>
    </row>
    <row r="10" spans="1:8" x14ac:dyDescent="0.25">
      <c r="A10" s="2" t="s">
        <v>28</v>
      </c>
      <c r="B10" s="1">
        <v>1</v>
      </c>
      <c r="C10" s="2" t="s">
        <v>29</v>
      </c>
      <c r="D10" s="2" t="s">
        <v>30</v>
      </c>
      <c r="E10" s="6" t="s">
        <v>95</v>
      </c>
      <c r="F10">
        <f t="shared" si="0"/>
        <v>3</v>
      </c>
    </row>
    <row r="11" spans="1:8" x14ac:dyDescent="0.25">
      <c r="A11" s="2" t="s">
        <v>31</v>
      </c>
      <c r="B11" s="1">
        <v>4</v>
      </c>
      <c r="C11" s="2" t="s">
        <v>32</v>
      </c>
      <c r="D11" s="2" t="s">
        <v>33</v>
      </c>
      <c r="E11" s="6" t="s">
        <v>98</v>
      </c>
      <c r="F11">
        <f t="shared" si="0"/>
        <v>12</v>
      </c>
    </row>
    <row r="12" spans="1:8" x14ac:dyDescent="0.25">
      <c r="A12" s="2" t="s">
        <v>34</v>
      </c>
      <c r="B12" s="1">
        <v>2</v>
      </c>
      <c r="C12" s="2" t="s">
        <v>35</v>
      </c>
      <c r="D12" s="2" t="s">
        <v>36</v>
      </c>
      <c r="E12" s="6" t="s">
        <v>97</v>
      </c>
      <c r="F12">
        <f t="shared" si="0"/>
        <v>6</v>
      </c>
    </row>
    <row r="13" spans="1:8" x14ac:dyDescent="0.25">
      <c r="A13" s="2" t="s">
        <v>37</v>
      </c>
      <c r="B13" s="1">
        <v>4</v>
      </c>
      <c r="C13" s="2" t="s">
        <v>38</v>
      </c>
      <c r="D13" s="2" t="s">
        <v>39</v>
      </c>
      <c r="E13" s="6" t="s">
        <v>99</v>
      </c>
      <c r="F13">
        <f t="shared" si="0"/>
        <v>12</v>
      </c>
    </row>
    <row r="14" spans="1:8" x14ac:dyDescent="0.25">
      <c r="A14" s="2" t="s">
        <v>40</v>
      </c>
      <c r="B14" s="1">
        <v>4</v>
      </c>
      <c r="C14" s="2" t="s">
        <v>41</v>
      </c>
      <c r="D14" s="2" t="s">
        <v>42</v>
      </c>
      <c r="E14" s="6" t="s">
        <v>96</v>
      </c>
      <c r="F14">
        <f t="shared" si="0"/>
        <v>12</v>
      </c>
    </row>
    <row r="15" spans="1:8" x14ac:dyDescent="0.25">
      <c r="A15" s="2" t="s">
        <v>43</v>
      </c>
      <c r="B15" s="1">
        <v>2</v>
      </c>
      <c r="C15" s="2" t="s">
        <v>44</v>
      </c>
      <c r="D15" s="2" t="s">
        <v>45</v>
      </c>
      <c r="E15" s="6" t="s">
        <v>43</v>
      </c>
      <c r="F15">
        <f t="shared" si="0"/>
        <v>6</v>
      </c>
    </row>
    <row r="16" spans="1:8" x14ac:dyDescent="0.25">
      <c r="A16" s="2" t="s">
        <v>46</v>
      </c>
      <c r="B16" s="1">
        <v>6</v>
      </c>
      <c r="C16" s="2" t="s">
        <v>47</v>
      </c>
      <c r="D16" s="2" t="s">
        <v>48</v>
      </c>
      <c r="E16" s="6" t="s">
        <v>100</v>
      </c>
      <c r="F16">
        <f t="shared" si="0"/>
        <v>18</v>
      </c>
    </row>
    <row r="17" spans="1:7" x14ac:dyDescent="0.25">
      <c r="A17" s="2" t="s">
        <v>49</v>
      </c>
      <c r="B17" s="1">
        <v>1</v>
      </c>
      <c r="C17" s="2" t="s">
        <v>50</v>
      </c>
      <c r="D17" s="2" t="s">
        <v>49</v>
      </c>
      <c r="E17" s="6" t="s">
        <v>101</v>
      </c>
      <c r="F17">
        <f t="shared" si="0"/>
        <v>3</v>
      </c>
    </row>
    <row r="18" spans="1:7" x14ac:dyDescent="0.25">
      <c r="A18" s="2" t="s">
        <v>51</v>
      </c>
      <c r="B18" s="1">
        <v>17</v>
      </c>
      <c r="C18" s="2" t="s">
        <v>52</v>
      </c>
      <c r="D18" s="2" t="s">
        <v>53</v>
      </c>
      <c r="E18" s="6" t="s">
        <v>102</v>
      </c>
      <c r="F18">
        <f t="shared" si="0"/>
        <v>51</v>
      </c>
    </row>
    <row r="19" spans="1:7" x14ac:dyDescent="0.25">
      <c r="A19" s="2" t="s">
        <v>54</v>
      </c>
      <c r="B19" s="1">
        <v>1</v>
      </c>
      <c r="C19" s="2" t="s">
        <v>55</v>
      </c>
      <c r="D19" s="2" t="s">
        <v>53</v>
      </c>
      <c r="E19" s="6" t="s">
        <v>102</v>
      </c>
      <c r="F19">
        <f t="shared" si="0"/>
        <v>3</v>
      </c>
    </row>
    <row r="20" spans="1:7" x14ac:dyDescent="0.25">
      <c r="A20" s="2" t="s">
        <v>56</v>
      </c>
      <c r="B20" s="1">
        <v>4</v>
      </c>
      <c r="C20" s="2" t="s">
        <v>57</v>
      </c>
      <c r="D20" s="2" t="s">
        <v>53</v>
      </c>
      <c r="E20" s="6" t="s">
        <v>102</v>
      </c>
      <c r="F20">
        <f t="shared" si="0"/>
        <v>12</v>
      </c>
    </row>
    <row r="21" spans="1:7" x14ac:dyDescent="0.25">
      <c r="A21" s="2" t="s">
        <v>58</v>
      </c>
      <c r="B21" s="1">
        <v>1</v>
      </c>
      <c r="C21" s="2" t="s">
        <v>59</v>
      </c>
      <c r="D21" s="2" t="s">
        <v>58</v>
      </c>
      <c r="F21">
        <f t="shared" si="0"/>
        <v>3</v>
      </c>
    </row>
    <row r="22" spans="1:7" x14ac:dyDescent="0.25">
      <c r="A22" s="2" t="s">
        <v>60</v>
      </c>
      <c r="B22" s="1">
        <v>1</v>
      </c>
      <c r="C22" s="2" t="s">
        <v>61</v>
      </c>
      <c r="D22" s="2" t="s">
        <v>62</v>
      </c>
      <c r="F22">
        <f t="shared" si="0"/>
        <v>3</v>
      </c>
    </row>
    <row r="23" spans="1:7" ht="13.2" customHeight="1" x14ac:dyDescent="0.25">
      <c r="A23" s="2" t="s">
        <v>63</v>
      </c>
      <c r="B23" s="1">
        <v>1</v>
      </c>
      <c r="C23" s="2" t="s">
        <v>64</v>
      </c>
      <c r="D23" s="2" t="s">
        <v>65</v>
      </c>
      <c r="E23" s="5" t="s">
        <v>103</v>
      </c>
      <c r="F23">
        <f t="shared" si="0"/>
        <v>3</v>
      </c>
    </row>
    <row r="24" spans="1:7" x14ac:dyDescent="0.25">
      <c r="A24" s="2" t="s">
        <v>66</v>
      </c>
      <c r="B24" s="1">
        <v>1</v>
      </c>
      <c r="C24" s="2" t="s">
        <v>67</v>
      </c>
      <c r="D24" s="2" t="s">
        <v>68</v>
      </c>
      <c r="E24" s="6" t="s">
        <v>104</v>
      </c>
      <c r="F24">
        <f t="shared" si="0"/>
        <v>3</v>
      </c>
    </row>
    <row r="25" spans="1:7" x14ac:dyDescent="0.25">
      <c r="A25" s="2" t="s">
        <v>107</v>
      </c>
      <c r="B25" s="1">
        <v>1</v>
      </c>
      <c r="C25" s="2" t="s">
        <v>69</v>
      </c>
      <c r="D25" s="2" t="s">
        <v>70</v>
      </c>
      <c r="E25" s="6" t="s">
        <v>105</v>
      </c>
      <c r="F25">
        <f t="shared" si="0"/>
        <v>3</v>
      </c>
    </row>
    <row r="26" spans="1:7" x14ac:dyDescent="0.25">
      <c r="A26" s="2" t="s">
        <v>71</v>
      </c>
      <c r="B26" s="1">
        <v>1</v>
      </c>
      <c r="C26" s="2" t="s">
        <v>72</v>
      </c>
      <c r="D26" s="2" t="s">
        <v>73</v>
      </c>
      <c r="E26" s="6" t="s">
        <v>106</v>
      </c>
      <c r="F26">
        <f t="shared" si="0"/>
        <v>3</v>
      </c>
      <c r="G26" t="s">
        <v>117</v>
      </c>
    </row>
    <row r="27" spans="1:7" x14ac:dyDescent="0.25">
      <c r="A27" s="2" t="s">
        <v>74</v>
      </c>
      <c r="B27" s="1">
        <v>1</v>
      </c>
      <c r="C27" s="2" t="s">
        <v>75</v>
      </c>
      <c r="D27" s="2" t="s">
        <v>73</v>
      </c>
      <c r="E27" s="6" t="s">
        <v>106</v>
      </c>
      <c r="F27">
        <f t="shared" si="0"/>
        <v>3</v>
      </c>
    </row>
    <row r="28" spans="1:7" x14ac:dyDescent="0.25">
      <c r="A28" s="2" t="s">
        <v>10</v>
      </c>
      <c r="B28" s="1">
        <v>6</v>
      </c>
      <c r="C28" s="2" t="s">
        <v>76</v>
      </c>
      <c r="D28" s="2" t="s">
        <v>73</v>
      </c>
      <c r="E28" s="6" t="s">
        <v>106</v>
      </c>
      <c r="F28">
        <f t="shared" si="0"/>
        <v>18</v>
      </c>
    </row>
    <row r="29" spans="1:7" x14ac:dyDescent="0.25">
      <c r="A29" s="2" t="s">
        <v>77</v>
      </c>
      <c r="B29" s="1">
        <v>2</v>
      </c>
      <c r="C29" s="2" t="s">
        <v>78</v>
      </c>
      <c r="D29" s="2" t="s">
        <v>73</v>
      </c>
      <c r="E29" s="6" t="s">
        <v>106</v>
      </c>
      <c r="F29">
        <f t="shared" si="0"/>
        <v>6</v>
      </c>
    </row>
    <row r="30" spans="1:7" x14ac:dyDescent="0.25">
      <c r="A30" s="2" t="s">
        <v>79</v>
      </c>
      <c r="B30" s="1">
        <v>1</v>
      </c>
      <c r="C30" s="2" t="s">
        <v>80</v>
      </c>
      <c r="D30" s="2" t="s">
        <v>73</v>
      </c>
      <c r="E30" s="6" t="s">
        <v>106</v>
      </c>
      <c r="F30">
        <f t="shared" si="0"/>
        <v>3</v>
      </c>
    </row>
    <row r="31" spans="1:7" x14ac:dyDescent="0.25">
      <c r="A31" s="2" t="s">
        <v>81</v>
      </c>
      <c r="B31" s="1">
        <v>1</v>
      </c>
      <c r="C31" s="2" t="s">
        <v>82</v>
      </c>
      <c r="D31" s="2" t="s">
        <v>73</v>
      </c>
      <c r="E31" s="6" t="s">
        <v>106</v>
      </c>
      <c r="F31">
        <f t="shared" si="0"/>
        <v>3</v>
      </c>
    </row>
    <row r="32" spans="1:7" x14ac:dyDescent="0.25">
      <c r="A32" s="2" t="s">
        <v>83</v>
      </c>
      <c r="B32" s="1">
        <v>1</v>
      </c>
      <c r="C32" s="2" t="s">
        <v>84</v>
      </c>
      <c r="D32" s="2" t="s">
        <v>85</v>
      </c>
      <c r="E32" s="6" t="s">
        <v>110</v>
      </c>
      <c r="F32">
        <f t="shared" si="0"/>
        <v>3</v>
      </c>
    </row>
    <row r="33" spans="1:6" x14ac:dyDescent="0.25">
      <c r="A33" s="2" t="s">
        <v>108</v>
      </c>
      <c r="B33" s="1">
        <v>1</v>
      </c>
      <c r="C33" s="2" t="s">
        <v>86</v>
      </c>
      <c r="D33" s="2" t="s">
        <v>87</v>
      </c>
      <c r="E33" s="6" t="s">
        <v>109</v>
      </c>
      <c r="F33">
        <f t="shared" si="0"/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PIC24_MCX514</vt:lpstr>
      <vt:lpstr>PIC24_MCX514!Print_Titles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2022-07-30T08:05:35Z</dcterms:created>
  <dcterms:modified xsi:type="dcterms:W3CDTF">2022-07-30T17:04:55Z</dcterms:modified>
</cp:coreProperties>
</file>