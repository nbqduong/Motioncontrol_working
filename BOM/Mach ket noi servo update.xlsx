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tionControlBackup\Schematic and PCB\"/>
    </mc:Choice>
  </mc:AlternateContent>
  <xr:revisionPtr revIDLastSave="0" documentId="13_ncr:1_{5C907394-1ECA-4A86-8BE9-E270013C573E}" xr6:coauthVersionLast="47" xr6:coauthVersionMax="47" xr10:uidLastSave="{00000000-0000-0000-0000-000000000000}"/>
  <bookViews>
    <workbookView xWindow="-108" yWindow="-108" windowWidth="23256" windowHeight="12456" xr2:uid="{ADD99124-8F8F-43B6-A202-E86213688466}"/>
  </bookViews>
  <sheets>
    <sheet name="Mach-ket-noi-Ser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E21" i="1"/>
  <c r="E18" i="1"/>
  <c r="E19" i="1"/>
  <c r="E20" i="1"/>
  <c r="E17" i="1"/>
  <c r="E12" i="1"/>
  <c r="E11" i="1"/>
  <c r="E10" i="1"/>
  <c r="E3" i="1" l="1"/>
  <c r="E4" i="1"/>
  <c r="E6" i="1"/>
  <c r="E7" i="1"/>
  <c r="E8" i="1"/>
  <c r="E9" i="1"/>
  <c r="E2" i="1"/>
  <c r="E13" i="1" s="1"/>
</calcChain>
</file>

<file path=xl/sharedStrings.xml><?xml version="1.0" encoding="utf-8"?>
<sst xmlns="http://schemas.openxmlformats.org/spreadsheetml/2006/main" count="41" uniqueCount="38">
  <si>
    <t>Comment</t>
  </si>
  <si>
    <t>Quantity</t>
  </si>
  <si>
    <t>Description</t>
  </si>
  <si>
    <t>5.6k</t>
  </si>
  <si>
    <t>Chip resistor networks (MNR)</t>
  </si>
  <si>
    <t>3.3k</t>
  </si>
  <si>
    <t>10</t>
  </si>
  <si>
    <t>10k</t>
  </si>
  <si>
    <t>SN75ALS175NSR</t>
  </si>
  <si>
    <t>SMS05</t>
  </si>
  <si>
    <t>SN75ALS174ADWR</t>
  </si>
  <si>
    <t>Quadruple Differential Line Driver, 4 TX / 0 RX, 5V, 0 to 70 degC, 20-Pin SOIC (DW), Green (RoHS &amp; no Sb/Br)</t>
  </si>
  <si>
    <t>TLP291-4</t>
  </si>
  <si>
    <t>TLP290-4</t>
  </si>
  <si>
    <t>https://www.mouser.vn/ProductDetail/Semtech/SMS05TCT?qs=sGAEpiMZZMvxHShE6Whpu05L4sgaWrd7tg19VgxZGCw%3d</t>
  </si>
  <si>
    <t>https://www.mouser.vn/ProductDetail/Toshiba/TLP290-4GB-TPE?qs=sGAEpiMZZMteimceiIVCB3qZhEwbmgeEPDlJ73ak1dA%3d</t>
  </si>
  <si>
    <t>https://www.mouser.vn/ProductDetail/Toshiba/TLP291-4GB-TPE?qs=sGAEpiMZZMteimceiIVCB3qZhEwbmgeEa%252bDKcYuRaWM%3d</t>
  </si>
  <si>
    <t>Đơn giá</t>
  </si>
  <si>
    <t>Thành tiền</t>
  </si>
  <si>
    <t>https://www.digikey.sk/en/products/detail/texas-instruments/SN75ALS175NSR/381081?s=N4IgTCBcDaIMoDkDsBWAggGTgRlQuASiALoC%2BQA</t>
  </si>
  <si>
    <t>https://www.digikey.sk/en/products/detail/texas-instruments/SN74LVC244ADWR/276872</t>
  </si>
  <si>
    <t>SN74LVC244ADWR</t>
  </si>
  <si>
    <t>Buffer, Non-Inverting 2 Element 4 Bit per Element 3-State Output 20-SOIC</t>
  </si>
  <si>
    <t xml:space="preserve">	
0/4 Receiver RS422, RS423, RS485 16-SO</t>
  </si>
  <si>
    <t>https://www.digikey.sk/en/products/detail/texas-instruments/SN75ALS174ADWR/1593485?s=N4IgTCBcDaIMoDkDsBWAggGTgRiQFjQBEB1AJRAF0BfIA</t>
  </si>
  <si>
    <t>TLP290-4 Hoặc TLP280-4</t>
  </si>
  <si>
    <t>TLP291-4 Hoặc TLP281-4</t>
  </si>
  <si>
    <t>Dây Ide cái</t>
  </si>
  <si>
    <t>Dây Ide đực gài</t>
  </si>
  <si>
    <t>Chip resistor networks (MNR) 3x1,75mm</t>
  </si>
  <si>
    <t>Tụ 0,1 micro fara không phân cực</t>
  </si>
  <si>
    <t>0.1uF</t>
  </si>
  <si>
    <t>1nF</t>
  </si>
  <si>
    <t>10uF</t>
  </si>
  <si>
    <t>1k</t>
  </si>
  <si>
    <t>điện trở smd 0805</t>
  </si>
  <si>
    <t>Tụ 1 nf không phân cực</t>
  </si>
  <si>
    <t>Tụ 10 micro fara không phân cực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</si>
</sst>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8"/>
      <color rgb="FF000000"/>
      <name val="Segoe UI"/>
      <family val="2"/>
    </font>
    <font>
      <u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7"/>
      <color rgb="FF444444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 applyAlignment="1">
      <alignment wrapText="1"/>
    </xf>
    <xf numFmtId="0" fontId="2" fillId="0" borderId="0" xfId="1" applyAlignment="1">
      <alignment wrapText="1"/>
    </xf>
    <xf numFmtId="0" fontId="1" fillId="0" borderId="1" xfId="0" applyFont="1" applyBorder="1" applyAlignment="1">
      <alignment wrapText="1"/>
    </xf>
    <xf numFmtId="0" fontId="2" fillId="0" borderId="2" xfId="1" applyFill="1" applyBorder="1" applyAlignment="1">
      <alignment wrapText="1"/>
    </xf>
    <xf numFmtId="0" fontId="1" fillId="0" borderId="0" xfId="0" applyFont="1" applyAlignment="1">
      <alignment wrapText="1"/>
    </xf>
    <xf numFmtId="3" fontId="1" fillId="2" borderId="0" xfId="0" quotePrefix="1" applyNumberFormat="1" applyFont="1" applyFill="1" applyAlignment="1">
      <alignment horizontal="center"/>
    </xf>
    <xf numFmtId="3" fontId="1" fillId="0" borderId="3" xfId="0" quotePrefix="1" applyNumberFormat="1" applyFont="1" applyBorder="1" applyAlignment="1">
      <alignment wrapText="1"/>
    </xf>
    <xf numFmtId="3" fontId="0" fillId="0" borderId="0" xfId="0" applyNumberFormat="1"/>
    <xf numFmtId="3" fontId="1" fillId="0" borderId="0" xfId="0" quotePrefix="1" applyNumberFormat="1" applyFont="1" applyAlignment="1">
      <alignment wrapText="1"/>
    </xf>
    <xf numFmtId="3" fontId="1" fillId="0" borderId="2" xfId="0" quotePrefix="1" applyNumberFormat="1" applyFont="1" applyBorder="1" applyAlignment="1">
      <alignment wrapText="1"/>
    </xf>
    <xf numFmtId="0" fontId="4" fillId="0" borderId="0" xfId="0" applyFont="1"/>
    <xf numFmtId="0" fontId="1" fillId="0" borderId="1" xfId="0" quotePrefix="1" applyFont="1" applyBorder="1"/>
    <xf numFmtId="0" fontId="1" fillId="0" borderId="1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2494915</xdr:colOff>
      <xdr:row>1</xdr:row>
      <xdr:rowOff>89535</xdr:rowOff>
    </xdr:from>
    <xdr:to>
      <xdr:col>2</xdr:col>
      <xdr:colOff>4044315</xdr:colOff>
      <xdr:row>5</xdr:row>
      <xdr:rowOff>504825</xdr:rowOff>
    </xdr:to>
    <xdr:pic>
      <xdr:nvPicPr>
        <xdr:cNvPr id="2" name="Picture 1" descr="http://tme.vn/upload/products/0603_Array_Resistor.jpg">
          <a:extLst>
            <a:ext uri="{FF2B5EF4-FFF2-40B4-BE49-F238E27FC236}">
              <a16:creationId xmlns:a16="http://schemas.microsoft.com/office/drawing/2014/main" id="{798CD073-17CC-496B-948F-F9D23B452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1435" y="264795"/>
          <a:ext cx="1549400" cy="1116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mouser.vn/ProductDetail/Toshiba/TLP291-4GB-TPE?qs=sGAEpiMZZMteimceiIVCB3qZhEwbmgeEa%252bDKcYuRaWM%3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mouser.vn/ProductDetail/Toshiba/TLP290-4GB-TPE?qs=sGAEpiMZZMteimceiIVCB3qZhEwbmgeEPDlJ73ak1dA%3d" TargetMode="External"/><Relationship Id="rId1" Type="http://schemas.openxmlformats.org/officeDocument/2006/relationships/hyperlink" Target="https://www.mouser.vn/ProductDetail/Semtech/SMS05TCT?qs=sGAEpiMZZMvxHShE6Whpu05L4sgaWrd7tg19VgxZGCw%3d" TargetMode="External"/><Relationship Id="rId6" Type="http://schemas.openxmlformats.org/officeDocument/2006/relationships/hyperlink" Target="https://www.digikey.sk/en/products/detail/texas-instruments/SN75ALS175NSR/381081?s=N4IgTCBcDaIMoDkDsBWAggGTgRlQuASiALoC%2BQA" TargetMode="External"/><Relationship Id="rId5" Type="http://schemas.openxmlformats.org/officeDocument/2006/relationships/hyperlink" Target="https://www.digikey.sk/en/products/detail/texas-instruments/SN74LVC244ADWR/276872" TargetMode="External"/><Relationship Id="rId4" Type="http://schemas.openxmlformats.org/officeDocument/2006/relationships/hyperlink" Target="https://www.digikey.sk/en/products/detail/texas-instruments/SN75ALS174ADWR/1593485?s=N4IgTCBcDaIMoDkDsBWAggGTgRiQFjQBEB1AJRA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69B3-361B-421A-A239-2542D3255D8B}">
  <dimension ref="A1:G32"/>
  <sheetViews>
    <sheetView tabSelected="1" zoomScaleNormal="100" workbookViewId="0">
      <selection activeCell="E7" sqref="E7"/>
    </sheetView>
  </sheetViews>
  <sheetFormatPr defaultRowHeight="13.8" x14ac:dyDescent="0.25"/>
  <cols>
    <col min="1" max="1" width="27.296875" customWidth="1"/>
    <col min="2" max="2" width="7.296875" bestFit="1" customWidth="1"/>
    <col min="3" max="3" width="53.3984375" customWidth="1"/>
    <col min="4" max="5" width="23.8984375" style="9" customWidth="1"/>
    <col min="6" max="6" width="64" customWidth="1"/>
    <col min="7" max="7" width="23.398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7" t="s">
        <v>17</v>
      </c>
      <c r="E1" s="7" t="s">
        <v>18</v>
      </c>
    </row>
    <row r="2" spans="1:7" x14ac:dyDescent="0.25">
      <c r="A2" s="2" t="s">
        <v>3</v>
      </c>
      <c r="B2" s="4">
        <v>24</v>
      </c>
      <c r="C2" s="2" t="s">
        <v>29</v>
      </c>
      <c r="D2" s="8">
        <v>500</v>
      </c>
      <c r="E2" s="8">
        <f>D2*B2</f>
        <v>12000</v>
      </c>
      <c r="F2" s="15"/>
      <c r="G2" s="16"/>
    </row>
    <row r="3" spans="1:7" x14ac:dyDescent="0.25">
      <c r="A3" s="2" t="s">
        <v>5</v>
      </c>
      <c r="B3" s="4">
        <v>24</v>
      </c>
      <c r="C3" s="2" t="s">
        <v>4</v>
      </c>
      <c r="D3" s="8">
        <v>500</v>
      </c>
      <c r="E3" s="8">
        <f t="shared" ref="E3:E9" si="0">D3*B3</f>
        <v>12000</v>
      </c>
      <c r="F3" s="15"/>
      <c r="G3" s="16"/>
    </row>
    <row r="4" spans="1:7" x14ac:dyDescent="0.25">
      <c r="A4" s="2" t="s">
        <v>6</v>
      </c>
      <c r="B4" s="4">
        <v>16</v>
      </c>
      <c r="C4" s="2" t="s">
        <v>4</v>
      </c>
      <c r="D4" s="8">
        <v>500</v>
      </c>
      <c r="E4" s="8">
        <f t="shared" si="0"/>
        <v>8000</v>
      </c>
      <c r="F4" s="15"/>
      <c r="G4" s="16"/>
    </row>
    <row r="5" spans="1:7" x14ac:dyDescent="0.25">
      <c r="A5" s="2">
        <v>330</v>
      </c>
      <c r="B5" s="4">
        <v>30</v>
      </c>
      <c r="C5" s="2"/>
      <c r="D5" s="8"/>
      <c r="E5" s="8"/>
      <c r="F5" s="15"/>
      <c r="G5" s="16"/>
    </row>
    <row r="6" spans="1:7" ht="57.75" customHeight="1" x14ac:dyDescent="0.25">
      <c r="A6" s="2" t="s">
        <v>7</v>
      </c>
      <c r="B6" s="4">
        <v>16</v>
      </c>
      <c r="C6" s="2" t="s">
        <v>4</v>
      </c>
      <c r="D6" s="8">
        <v>500</v>
      </c>
      <c r="E6" s="8">
        <f t="shared" si="0"/>
        <v>8000</v>
      </c>
      <c r="F6" s="15"/>
      <c r="G6" s="16"/>
    </row>
    <row r="7" spans="1:7" ht="41.4" x14ac:dyDescent="0.25">
      <c r="A7" s="2" t="s">
        <v>10</v>
      </c>
      <c r="B7" s="4">
        <v>8</v>
      </c>
      <c r="C7" s="2" t="s">
        <v>11</v>
      </c>
      <c r="D7" s="10">
        <v>85000</v>
      </c>
      <c r="E7" s="8">
        <f t="shared" si="0"/>
        <v>680000</v>
      </c>
      <c r="F7" s="3" t="s">
        <v>24</v>
      </c>
      <c r="G7" s="16"/>
    </row>
    <row r="8" spans="1:7" ht="27.6" x14ac:dyDescent="0.25">
      <c r="A8" s="2" t="s">
        <v>21</v>
      </c>
      <c r="B8" s="4">
        <v>15</v>
      </c>
      <c r="C8" s="12" t="s">
        <v>22</v>
      </c>
      <c r="D8" s="10">
        <v>15500</v>
      </c>
      <c r="E8" s="8">
        <f t="shared" si="0"/>
        <v>232500</v>
      </c>
      <c r="F8" s="3" t="s">
        <v>20</v>
      </c>
      <c r="G8" s="16"/>
    </row>
    <row r="9" spans="1:7" ht="41.4" x14ac:dyDescent="0.25">
      <c r="A9" s="2" t="s">
        <v>8</v>
      </c>
      <c r="B9" s="4">
        <v>8</v>
      </c>
      <c r="C9" s="12" t="s">
        <v>23</v>
      </c>
      <c r="D9" s="10">
        <v>30000</v>
      </c>
      <c r="E9" s="8">
        <f t="shared" si="0"/>
        <v>240000</v>
      </c>
      <c r="F9" s="3" t="s">
        <v>19</v>
      </c>
      <c r="G9" s="16"/>
    </row>
    <row r="10" spans="1:7" ht="27.6" x14ac:dyDescent="0.25">
      <c r="A10" s="2" t="s">
        <v>9</v>
      </c>
      <c r="B10" s="4">
        <v>15</v>
      </c>
      <c r="C10" s="2" t="s">
        <v>9</v>
      </c>
      <c r="D10" s="11">
        <v>35000</v>
      </c>
      <c r="E10" s="8">
        <f>D10*B10</f>
        <v>525000</v>
      </c>
      <c r="F10" s="5" t="s">
        <v>14</v>
      </c>
      <c r="G10" s="16"/>
    </row>
    <row r="11" spans="1:7" ht="27.6" x14ac:dyDescent="0.25">
      <c r="A11" s="2" t="s">
        <v>25</v>
      </c>
      <c r="B11" s="4">
        <v>16</v>
      </c>
      <c r="C11" s="2" t="s">
        <v>13</v>
      </c>
      <c r="D11" s="10">
        <v>30000</v>
      </c>
      <c r="E11" s="8">
        <f>D11*B11</f>
        <v>480000</v>
      </c>
      <c r="F11" s="3" t="s">
        <v>15</v>
      </c>
      <c r="G11" s="16"/>
    </row>
    <row r="12" spans="1:7" ht="41.4" x14ac:dyDescent="0.25">
      <c r="A12" s="2" t="s">
        <v>26</v>
      </c>
      <c r="B12" s="4">
        <v>9</v>
      </c>
      <c r="C12" s="2" t="s">
        <v>12</v>
      </c>
      <c r="D12" s="10">
        <v>26000</v>
      </c>
      <c r="E12" s="8">
        <f>D12*B12</f>
        <v>234000</v>
      </c>
      <c r="F12" s="3" t="s">
        <v>16</v>
      </c>
      <c r="G12" s="16"/>
    </row>
    <row r="13" spans="1:7" x14ac:dyDescent="0.25">
      <c r="E13" s="9">
        <f>SUM(E2:E12)</f>
        <v>2431500</v>
      </c>
    </row>
    <row r="16" spans="1:7" x14ac:dyDescent="0.25">
      <c r="A16" s="6"/>
    </row>
    <row r="17" spans="1:5" x14ac:dyDescent="0.25">
      <c r="A17" s="13" t="s">
        <v>27</v>
      </c>
      <c r="B17" s="14">
        <v>4</v>
      </c>
      <c r="C17" s="13"/>
      <c r="D17" s="13">
        <v>25000</v>
      </c>
      <c r="E17" s="9">
        <f>D17*B17</f>
        <v>100000</v>
      </c>
    </row>
    <row r="18" spans="1:5" x14ac:dyDescent="0.25">
      <c r="A18" s="13" t="s">
        <v>28</v>
      </c>
      <c r="B18" s="14">
        <v>4</v>
      </c>
      <c r="C18" s="13"/>
      <c r="D18" s="13">
        <v>5000</v>
      </c>
      <c r="E18" s="9">
        <f t="shared" ref="E18:E22" si="1">D18*B18</f>
        <v>20000</v>
      </c>
    </row>
    <row r="19" spans="1:5" x14ac:dyDescent="0.25">
      <c r="A19" s="13" t="s">
        <v>31</v>
      </c>
      <c r="B19" s="14">
        <v>4</v>
      </c>
      <c r="C19" s="13" t="s">
        <v>30</v>
      </c>
      <c r="D19" s="13">
        <v>3300</v>
      </c>
      <c r="E19" s="9">
        <f t="shared" si="1"/>
        <v>13200</v>
      </c>
    </row>
    <row r="20" spans="1:5" x14ac:dyDescent="0.25">
      <c r="A20" s="13" t="s">
        <v>32</v>
      </c>
      <c r="B20" s="14">
        <v>24</v>
      </c>
      <c r="C20" s="13" t="s">
        <v>36</v>
      </c>
      <c r="D20" s="13">
        <v>3300</v>
      </c>
      <c r="E20" s="9">
        <f t="shared" si="1"/>
        <v>79200</v>
      </c>
    </row>
    <row r="21" spans="1:5" x14ac:dyDescent="0.25">
      <c r="A21" s="13" t="s">
        <v>33</v>
      </c>
      <c r="B21" s="14">
        <v>1</v>
      </c>
      <c r="C21" s="13" t="s">
        <v>37</v>
      </c>
      <c r="D21" s="13">
        <v>3300</v>
      </c>
      <c r="E21" s="9">
        <f t="shared" si="1"/>
        <v>3300</v>
      </c>
    </row>
    <row r="22" spans="1:5" x14ac:dyDescent="0.25">
      <c r="A22" s="13" t="s">
        <v>34</v>
      </c>
      <c r="B22" s="14">
        <v>1</v>
      </c>
      <c r="C22" s="13" t="s">
        <v>35</v>
      </c>
      <c r="D22" s="13">
        <v>3300</v>
      </c>
      <c r="E22" s="9">
        <f t="shared" si="1"/>
        <v>3300</v>
      </c>
    </row>
    <row r="23" spans="1:5" x14ac:dyDescent="0.25">
      <c r="A23" s="13"/>
      <c r="B23" s="14"/>
      <c r="C23" s="13"/>
      <c r="D23" s="13"/>
      <c r="E23" s="9">
        <f>SUM(E17:E22)</f>
        <v>219000</v>
      </c>
    </row>
    <row r="24" spans="1:5" x14ac:dyDescent="0.25">
      <c r="A24" s="13"/>
      <c r="B24" s="14"/>
      <c r="C24" s="13"/>
      <c r="D24" s="13"/>
    </row>
    <row r="25" spans="1:5" x14ac:dyDescent="0.25">
      <c r="A25" s="13"/>
      <c r="B25" s="14"/>
      <c r="C25" s="13"/>
      <c r="D25" s="13"/>
    </row>
    <row r="26" spans="1:5" x14ac:dyDescent="0.25">
      <c r="A26" s="13"/>
      <c r="B26" s="14"/>
      <c r="C26" s="13"/>
      <c r="D26" s="13"/>
    </row>
    <row r="27" spans="1:5" x14ac:dyDescent="0.25">
      <c r="A27" s="13"/>
      <c r="B27" s="14"/>
      <c r="C27" s="13"/>
      <c r="D27" s="13"/>
    </row>
    <row r="28" spans="1:5" x14ac:dyDescent="0.25">
      <c r="D28"/>
    </row>
    <row r="29" spans="1:5" x14ac:dyDescent="0.25">
      <c r="D29"/>
    </row>
    <row r="30" spans="1:5" x14ac:dyDescent="0.25">
      <c r="D30"/>
    </row>
    <row r="31" spans="1:5" x14ac:dyDescent="0.25">
      <c r="D31"/>
    </row>
    <row r="32" spans="1:5" x14ac:dyDescent="0.25">
      <c r="D32"/>
    </row>
  </sheetData>
  <sortState xmlns:xlrd2="http://schemas.microsoft.com/office/spreadsheetml/2017/richdata2" ref="A2:C12">
    <sortCondition ref="C2"/>
  </sortState>
  <mergeCells count="2">
    <mergeCell ref="F2:F6"/>
    <mergeCell ref="G2:G12"/>
  </mergeCells>
  <hyperlinks>
    <hyperlink ref="F10" r:id="rId1" xr:uid="{0965AF9D-CA6F-49A4-9ADF-70BD02B7524C}"/>
    <hyperlink ref="F11" r:id="rId2" xr:uid="{3592A0CF-C186-4867-BB62-4E482557CC58}"/>
    <hyperlink ref="F12" r:id="rId3" xr:uid="{930E081B-6C00-4AF8-ABAA-A067B1E391BA}"/>
    <hyperlink ref="F7" r:id="rId4" xr:uid="{F3A6FB6A-C24B-444B-A319-3268C211FBA7}"/>
    <hyperlink ref="F8" r:id="rId5" xr:uid="{85BEC95A-BEB6-4904-B1C4-DC024014A583}"/>
    <hyperlink ref="F9" r:id="rId6" xr:uid="{B32CA64C-E9ED-4548-B24E-94810AC1D182}"/>
  </hyperlinks>
  <pageMargins left="0.7" right="0.7" top="0.75" bottom="0.75" header="0.3" footer="0.3"/>
  <pageSetup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Mach-ket-noi-Servo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Cảnh Nguyễn</dc:creator>
  <cp:lastModifiedBy>Quốc Dương</cp:lastModifiedBy>
  <dcterms:created xsi:type="dcterms:W3CDTF">2018-06-25T02:44:40Z</dcterms:created>
  <dcterms:modified xsi:type="dcterms:W3CDTF">2022-10-15T07:46:45Z</dcterms:modified>
</cp:coreProperties>
</file>